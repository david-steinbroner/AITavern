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t Economics" sheetId="1" state="visible" r:id="rId3"/>
    <sheet name="Subscription Tiers" sheetId="2" state="visible" r:id="rId4"/>
    <sheet name="Scaling Scenarios" sheetId="3" state="visible" r:id="rId5"/>
    <sheet name="Launch Strateg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<sst xmlns="http://schemas.openxmlformats.org/spreadsheetml/2006/main" count="262" uniqueCount="234">
  <si>
    <t xml:space="preserve">Story Mode — Unit Economics Model</t>
  </si>
  <si>
    <t xml:space="preserve">All costs based on OpenRouter → Claude 3.5 Haiku pricing</t>
  </si>
  <si>
    <t xml:space="preserve">AI PRICING ASSUMPTIONS</t>
  </si>
  <si>
    <t xml:space="preserve">Source: spendTracker.ts</t>
  </si>
  <si>
    <t xml:space="preserve">Rate</t>
  </si>
  <si>
    <t xml:space="preserve">Unit</t>
  </si>
  <si>
    <t xml:space="preserve">Input token cost</t>
  </si>
  <si>
    <t xml:space="preserve">per 1K tokens</t>
  </si>
  <si>
    <t xml:space="preserve">Output token cost</t>
  </si>
  <si>
    <t xml:space="preserve">PER-PAGE TOKEN ESTIMATES</t>
  </si>
  <si>
    <t xml:space="preserve">Component</t>
  </si>
  <si>
    <t xml:space="preserve">Tokens</t>
  </si>
  <si>
    <t xml:space="preserve">Notes</t>
  </si>
  <si>
    <t xml:space="preserve">System prompt</t>
  </si>
  <si>
    <t xml:space="preserve">Guide personality + rules</t>
  </si>
  <si>
    <t xml:space="preserve">Game state</t>
  </si>
  <si>
    <t xml:space="preserve">Character, quests, inventory</t>
  </si>
  <si>
    <t xml:space="preserve">Rolling summary</t>
  </si>
  <si>
    <t xml:space="preserve">After first 10 pages</t>
  </si>
  <si>
    <t xml:space="preserve">Recent messages (5)</t>
  </si>
  <si>
    <t xml:space="preserve">~300 tokens each</t>
  </si>
  <si>
    <t xml:space="preserve">Player input</t>
  </si>
  <si>
    <t xml:space="preserve">Choice selection</t>
  </si>
  <si>
    <t xml:space="preserve">Total input per page</t>
  </si>
  <si>
    <t xml:space="preserve">Output per page (narrative + choices)</t>
  </si>
  <si>
    <t xml:space="preserve">COST PER PAGE</t>
  </si>
  <si>
    <t xml:space="preserve">Input cost per page</t>
  </si>
  <si>
    <t xml:space="preserve">Output cost per page</t>
  </si>
  <si>
    <t xml:space="preserve">Total cost per page</t>
  </si>
  <si>
    <t xml:space="preserve">SUMMARIZATION COST</t>
  </si>
  <si>
    <t xml:space="preserve">Summarization trigger interval</t>
  </si>
  <si>
    <t xml:space="preserve">pages</t>
  </si>
  <si>
    <t xml:space="preserve">Summarization input tokens</t>
  </si>
  <si>
    <t xml:space="preserve">Summarization output tokens</t>
  </si>
  <si>
    <t xml:space="preserve">Cost per summarization</t>
  </si>
  <si>
    <t xml:space="preserve">COST PER STORY BY LENGTH</t>
  </si>
  <si>
    <t xml:space="preserve">Format</t>
  </si>
  <si>
    <t xml:space="preserve">Pages</t>
  </si>
  <si>
    <t xml:space="preserve">Page Cost</t>
  </si>
  <si>
    <t xml:space="preserve">Summarizations</t>
  </si>
  <si>
    <t xml:space="preserve">Summary Cost</t>
  </si>
  <si>
    <t xml:space="preserve">Total Cost</t>
  </si>
  <si>
    <t xml:space="preserve">Short Story</t>
  </si>
  <si>
    <t xml:space="preserve">Novella</t>
  </si>
  <si>
    <t xml:space="preserve">Novel</t>
  </si>
  <si>
    <t xml:space="preserve">Epic</t>
  </si>
  <si>
    <t xml:space="preserve">SONNET UPGRADE COMPARISON</t>
  </si>
  <si>
    <t xml:space="preserve">If upgrading AI model for premium tier</t>
  </si>
  <si>
    <t xml:space="preserve">Sonnet input cost (per 1K)</t>
  </si>
  <si>
    <t xml:space="preserve">Sonnet output cost (per 1K)</t>
  </si>
  <si>
    <t xml:space="preserve">Sonnet cost per page</t>
  </si>
  <si>
    <t xml:space="preserve">Sonnet multiplier vs Haiku</t>
  </si>
  <si>
    <t xml:space="preserve">Haiku Cost</t>
  </si>
  <si>
    <t xml:space="preserve">Sonnet Cost</t>
  </si>
  <si>
    <t xml:space="preserve">Difference</t>
  </si>
  <si>
    <t xml:space="preserve">Story Mode — Subscription Tiers &amp; Margins</t>
  </si>
  <si>
    <t xml:space="preserve">TIER DEFINITIONS</t>
  </si>
  <si>
    <t xml:space="preserve">Tier</t>
  </si>
  <si>
    <t xml:space="preserve">Monthly Price</t>
  </si>
  <si>
    <t xml:space="preserve">Pages/Month</t>
  </si>
  <si>
    <t xml:space="preserve">AI Model</t>
  </si>
  <si>
    <t xml:space="preserve">Community</t>
  </si>
  <si>
    <t xml:space="preserve">Cross-Story</t>
  </si>
  <si>
    <t xml:space="preserve">Free</t>
  </si>
  <si>
    <t xml:space="preserve">Haiku</t>
  </si>
  <si>
    <t xml:space="preserve">Browse only</t>
  </si>
  <si>
    <t xml:space="preserve">No</t>
  </si>
  <si>
    <t xml:space="preserve">Storyteller</t>
  </si>
  <si>
    <t xml:space="preserve">Vote + Nominate</t>
  </si>
  <si>
    <t xml:space="preserve">Yes</t>
  </si>
  <si>
    <t xml:space="preserve">Author</t>
  </si>
  <si>
    <t xml:space="preserve">Haiku + Sonnet</t>
  </si>
  <si>
    <t xml:space="preserve">Full access</t>
  </si>
  <si>
    <t xml:space="preserve">Yes + 4th wall</t>
  </si>
  <si>
    <t xml:space="preserve">COST PER SUBSCRIBER (HEAVY USAGE)</t>
  </si>
  <si>
    <t xml:space="preserve">Pages Used</t>
  </si>
  <si>
    <t xml:space="preserve">AI Cost</t>
  </si>
  <si>
    <t xml:space="preserve">Revenue</t>
  </si>
  <si>
    <t xml:space="preserve">Gross Margin</t>
  </si>
  <si>
    <t xml:space="preserve">Margin %</t>
  </si>
  <si>
    <t xml:space="preserve">COST PER SUBSCRIBER (AVERAGE USAGE)</t>
  </si>
  <si>
    <t xml:space="preserve">Most users won't hit limits</t>
  </si>
  <si>
    <t xml:space="preserve">Avg Pages/Mo</t>
  </si>
  <si>
    <t xml:space="preserve">Story Mode — Scaling Scenarios (Monthly)</t>
  </si>
  <si>
    <t xml:space="preserve">FIXED INFRASTRUCTURE (MONTHLY)</t>
  </si>
  <si>
    <t xml:space="preserve">Supabase (DB)</t>
  </si>
  <si>
    <t xml:space="preserve">Free tier to ~50K MAU</t>
  </si>
  <si>
    <t xml:space="preserve">Render (server)</t>
  </si>
  <si>
    <t xml:space="preserve">Starter plan</t>
  </si>
  <si>
    <t xml:space="preserve">Domain + misc</t>
  </si>
  <si>
    <t xml:space="preserve">PostHog / Sentry</t>
  </si>
  <si>
    <t xml:space="preserve">Free tiers</t>
  </si>
  <si>
    <t xml:space="preserve">Total fixed costs</t>
  </si>
  <si>
    <t xml:space="preserve">MONTHLY P&amp;L SCENARIOS</t>
  </si>
  <si>
    <t xml:space="preserve">Soft Launch</t>
  </si>
  <si>
    <t xml:space="preserve">Month 3</t>
  </si>
  <si>
    <t xml:space="preserve">Month 6</t>
  </si>
  <si>
    <t xml:space="preserve">Month 12</t>
  </si>
  <si>
    <t xml:space="preserve">Month 18</t>
  </si>
  <si>
    <t xml:space="preserve">Free users</t>
  </si>
  <si>
    <t xml:space="preserve">Storyteller ($5) subs</t>
  </si>
  <si>
    <t xml:space="preserve">Author ($10) subs</t>
  </si>
  <si>
    <t xml:space="preserve">Total users</t>
  </si>
  <si>
    <t xml:space="preserve">Conversion rate</t>
  </si>
  <si>
    <t xml:space="preserve">REVENUE</t>
  </si>
  <si>
    <t xml:space="preserve">Storyteller revenue</t>
  </si>
  <si>
    <t xml:space="preserve">Author revenue</t>
  </si>
  <si>
    <t xml:space="preserve">Total revenue</t>
  </si>
  <si>
    <t xml:space="preserve">AI COSTS</t>
  </si>
  <si>
    <t xml:space="preserve">Free user AI cost</t>
  </si>
  <si>
    <t xml:space="preserve">Storyteller AI cost</t>
  </si>
  <si>
    <t xml:space="preserve">Author AI cost</t>
  </si>
  <si>
    <t xml:space="preserve">Total AI cost</t>
  </si>
  <si>
    <t xml:space="preserve">Infrastructure cost</t>
  </si>
  <si>
    <t xml:space="preserve">BOTTOM LINE</t>
  </si>
  <si>
    <t xml:space="preserve">Total costs</t>
  </si>
  <si>
    <t xml:space="preserve">Net profit / (loss)</t>
  </si>
  <si>
    <t xml:space="preserve">Gross margin</t>
  </si>
  <si>
    <t xml:space="preserve">AI cost per user (blended)</t>
  </si>
  <si>
    <t xml:space="preserve">Revenue per user (blended)</t>
  </si>
  <si>
    <t xml:space="preserve">Story Mode — Launch &amp; Community Strategy</t>
  </si>
  <si>
    <t xml:space="preserve">PHASE 1: ALPHA (Months 1-2)</t>
  </si>
  <si>
    <t xml:space="preserve">Milestone</t>
  </si>
  <si>
    <t xml:space="preserve">What Ships</t>
  </si>
  <si>
    <t xml:space="preserve">Goal</t>
  </si>
  <si>
    <t xml:space="preserve">Users</t>
  </si>
  <si>
    <t xml:space="preserve">Monthly Cost</t>
  </si>
  <si>
    <t xml:space="preserve">M2: AI Memory</t>
  </si>
  <si>
    <t xml:space="preserve">Live-test rolling summary</t>
  </si>
  <si>
    <t xml:space="preserve">Verify AI remembers plot</t>
  </si>
  <si>
    <t xml:space="preserve">You + Rachel</t>
  </si>
  <si>
    <t xml:space="preserve">$0</t>
  </si>
  <si>
    <t xml:space="preserve">M3: Page Structure</t>
  </si>
  <si>
    <t xml:space="preserve">25 and 50-page stories</t>
  </si>
  <si>
    <t xml:space="preserve">Validate pacing + cost model</t>
  </si>
  <si>
    <t xml:space="preserve">5-10 friends</t>
  </si>
  <si>
    <t xml:space="preserve">~$5</t>
  </si>
  <si>
    <t xml:space="preserve">M4: The Guide</t>
  </si>
  <si>
    <t xml:space="preserve">Unified AI character voice</t>
  </si>
  <si>
    <t xml:space="preserve">Test personality across contexts</t>
  </si>
  <si>
    <t xml:space="preserve">Same group</t>
  </si>
  <si>
    <t xml:space="preserve">PHASE 2: BETA (Months 3-5)</t>
  </si>
  <si>
    <t xml:space="preserve">M5: Bookshelf UI</t>
  </si>
  <si>
    <t xml:space="preserve">Full visual redesign from prototype</t>
  </si>
  <si>
    <t xml:space="preserve">The 'wow' moment for new users</t>
  </si>
  <si>
    <t xml:space="preserve">50-200 beta</t>
  </si>
  <si>
    <t xml:space="preserve">~$50-100</t>
  </si>
  <si>
    <t xml:space="preserve">Production</t>
  </si>
  <si>
    <t xml:space="preserve">Error handling, monitoring, Render</t>
  </si>
  <si>
    <t xml:space="preserve">Stable enough for strangers</t>
  </si>
  <si>
    <t xml:space="preserve">Same</t>
  </si>
  <si>
    <t xml:space="preserve">~$20 infra</t>
  </si>
  <si>
    <t xml:space="preserve">Waitlist + Landing</t>
  </si>
  <si>
    <t xml:space="preserve">Public signup page</t>
  </si>
  <si>
    <t xml:space="preserve">Build anticipation, collect emails</t>
  </si>
  <si>
    <t xml:space="preserve">500+ signups</t>
  </si>
  <si>
    <t xml:space="preserve">~$10</t>
  </si>
  <si>
    <t xml:space="preserve">PHASE 3: PUBLIC LAUNCH (Month 6)</t>
  </si>
  <si>
    <t xml:space="preserve">Channel</t>
  </si>
  <si>
    <t xml:space="preserve">Tactic</t>
  </si>
  <si>
    <t xml:space="preserve">Why</t>
  </si>
  <si>
    <t xml:space="preserve">Cost</t>
  </si>
  <si>
    <t xml:space="preserve">Expected Users</t>
  </si>
  <si>
    <t xml:space="preserve">Product Hunt</t>
  </si>
  <si>
    <t xml:space="preserve">Launch day campaign</t>
  </si>
  <si>
    <t xml:space="preserve">Core early adopter audience</t>
  </si>
  <si>
    <t xml:space="preserve">500-2000</t>
  </si>
  <si>
    <t xml:space="preserve">Reddit</t>
  </si>
  <si>
    <t xml:space="preserve">r/interactive, r/writing, r/rpg</t>
  </si>
  <si>
    <t xml:space="preserve">Niche communities who want this</t>
  </si>
  <si>
    <t xml:space="preserve">200-500</t>
  </si>
  <si>
    <t xml:space="preserve">TikTok/Reels</t>
  </si>
  <si>
    <t xml:space="preserve">Screen recordings of stories</t>
  </si>
  <si>
    <t xml:space="preserve">Visual medium, shareable moments</t>
  </si>
  <si>
    <t xml:space="preserve">$0-50</t>
  </si>
  <si>
    <t xml:space="preserve">Variable</t>
  </si>
  <si>
    <t xml:space="preserve">Indie Hackers</t>
  </si>
  <si>
    <t xml:space="preserve">Build-in-public thread</t>
  </si>
  <si>
    <t xml:space="preserve">Developer + maker community</t>
  </si>
  <si>
    <t xml:space="preserve">100-300</t>
  </si>
  <si>
    <t xml:space="preserve">Referrals</t>
  </si>
  <si>
    <t xml:space="preserve">'Invite to your story' mechanic</t>
  </si>
  <si>
    <t xml:space="preserve">Viral loop built into product</t>
  </si>
  <si>
    <t xml:space="preserve">Multiplier</t>
  </si>
  <si>
    <t xml:space="preserve">PHASE 4: COMMUNITY (Months 7-12)</t>
  </si>
  <si>
    <t xml:space="preserve">Feature</t>
  </si>
  <si>
    <t xml:space="preserve">What It Enables</t>
  </si>
  <si>
    <t xml:space="preserve">Retention Lever</t>
  </si>
  <si>
    <t xml:space="preserve">Tier Gate</t>
  </si>
  <si>
    <t xml:space="preserve">Cross-story travel</t>
  </si>
  <si>
    <t xml:space="preserve">Characters move between books</t>
  </si>
  <si>
    <t xml:space="preserve">Long-term character investment</t>
  </si>
  <si>
    <t xml:space="preserve">Storyteller+</t>
  </si>
  <si>
    <t xml:space="preserve">Community templates</t>
  </si>
  <si>
    <t xml:space="preserve">Player worlds become playable</t>
  </si>
  <si>
    <t xml:space="preserve">Creator economy, recognition</t>
  </si>
  <si>
    <t xml:space="preserve">NPC injection</t>
  </si>
  <si>
    <t xml:space="preserve">Your character in others' stories</t>
  </si>
  <si>
    <t xml:space="preserve">Social connection without multiplayer</t>
  </si>
  <si>
    <t xml:space="preserve">Adaptive theming</t>
  </si>
  <si>
    <t xml:space="preserve">Stories change visual tone</t>
  </si>
  <si>
    <t xml:space="preserve">Immersion, screenshot-worthy</t>
  </si>
  <si>
    <t xml:space="preserve">All tiers</t>
  </si>
  <si>
    <t xml:space="preserve">Story sharing</t>
  </si>
  <si>
    <t xml:space="preserve">Share completed stories publicly</t>
  </si>
  <si>
    <t xml:space="preserve">Organic marketing, word of mouth</t>
  </si>
  <si>
    <t xml:space="preserve">KEY METRICS</t>
  </si>
  <si>
    <t xml:space="preserve">Metric</t>
  </si>
  <si>
    <t xml:space="preserve">Target</t>
  </si>
  <si>
    <t xml:space="preserve">Why It Matters</t>
  </si>
  <si>
    <t xml:space="preserve">Story completion rate</t>
  </si>
  <si>
    <t xml:space="preserve">&gt;40%</t>
  </si>
  <si>
    <t xml:space="preserve">If people finish stories, the page model works</t>
  </si>
  <si>
    <t xml:space="preserve">Pages per session</t>
  </si>
  <si>
    <t xml:space="preserve">&gt;8</t>
  </si>
  <si>
    <t xml:space="preserve">Engagement depth — are people hooked?</t>
  </si>
  <si>
    <t xml:space="preserve">Free → Storyteller conversion</t>
  </si>
  <si>
    <t xml:space="preserve">&gt;5%</t>
  </si>
  <si>
    <t xml:space="preserve">Core business viability</t>
  </si>
  <si>
    <t xml:space="preserve">Storyteller → Author upgrade</t>
  </si>
  <si>
    <t xml:space="preserve">&gt;15%</t>
  </si>
  <si>
    <t xml:space="preserve">Premium value resonates</t>
  </si>
  <si>
    <t xml:space="preserve">D7 retention</t>
  </si>
  <si>
    <t xml:space="preserve">&gt;25%</t>
  </si>
  <si>
    <t xml:space="preserve">Do people come back after first story?</t>
  </si>
  <si>
    <t xml:space="preserve">Stories per user per month</t>
  </si>
  <si>
    <t xml:space="preserve">&gt;1.5</t>
  </si>
  <si>
    <t xml:space="preserve">Replay value, not one-and-done</t>
  </si>
  <si>
    <t xml:space="preserve">Community template plays</t>
  </si>
  <si>
    <t xml:space="preserve">&gt;10 per template</t>
  </si>
  <si>
    <t xml:space="preserve">Community flywheel working</t>
  </si>
  <si>
    <t xml:space="preserve">AI cost per MAU</t>
  </si>
  <si>
    <t xml:space="preserve">&lt;$0.50</t>
  </si>
  <si>
    <t xml:space="preserve">Unit economics sustainable at scale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</si>
</sst>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00"/>
    <numFmt numFmtId="166" formatCode="#,##0"/>
    <numFmt numFmtId="167" formatCode="\$#,##0.00"/>
    <numFmt numFmtId="168" formatCode="0.0\x"/>
    <numFmt numFmtId="169" formatCode="\$#,##0"/>
    <numFmt numFmtId="170" formatCode="0.0%"/>
    <numFmt numFmtId="171" formatCode="\$#,##0;&quot;($&quot;#,##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4A4A5A"/>
      <name val="Arial"/>
      <family val="0"/>
      <charset val="1"/>
    </font>
    <font>
      <i val="true"/>
      <sz val="9"/>
      <color rgb="FF9CA3AF"/>
      <name val="Arial"/>
      <family val="0"/>
      <charset val="1"/>
    </font>
    <font>
      <b val="true"/>
      <sz val="12"/>
      <color rgb="FF4A4A5A"/>
      <name val="Arial"/>
      <family val="0"/>
      <charset val="1"/>
    </font>
    <font>
      <b val="true"/>
      <sz val="11"/>
      <color rgb="FF4A4A5A"/>
      <name val="Arial"/>
      <family val="0"/>
      <charset val="1"/>
    </font>
    <font>
      <sz val="10"/>
      <color rgb="FF6C7A89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9F0"/>
        <bgColor rgb="FFFFFDE7"/>
      </patternFill>
    </fill>
    <fill>
      <patternFill patternType="solid">
        <fgColor rgb="FFF0E8DC"/>
        <bgColor rgb="FFFFF9F0"/>
      </patternFill>
    </fill>
    <fill>
      <patternFill patternType="solid">
        <fgColor rgb="FFFFFDE7"/>
        <bgColor rgb="FFFFF9F0"/>
      </patternFill>
    </fill>
    <fill>
      <patternFill patternType="solid">
        <fgColor rgb="FFA8E6CF"/>
        <bgColor rgb="FFCCFFFF"/>
      </patternFill>
    </fill>
    <fill>
      <patternFill patternType="solid">
        <fgColor rgb="FFFFB6B9"/>
        <bgColor rgb="FFFFD6A5"/>
      </patternFill>
    </fill>
    <fill>
      <patternFill patternType="solid">
        <fgColor rgb="FFFFD6A5"/>
        <bgColor rgb="FFF0E8DC"/>
      </patternFill>
    </fill>
    <fill>
      <patternFill patternType="solid">
        <fgColor rgb="FFC9B6E4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9F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B6E4"/>
      <rgbColor rgb="FF6C7A89"/>
      <rgbColor rgb="FF9999FF"/>
      <rgbColor rgb="FF993366"/>
      <rgbColor rgb="FFFFFDE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0E8DC"/>
      <rgbColor rgb="FFFFFF99"/>
      <rgbColor rgb="FFA8E6CF"/>
      <rgbColor rgb="FFFFB6B9"/>
      <rgbColor rgb="FFCC99FF"/>
      <rgbColor rgb="FFFFD6A5"/>
      <rgbColor rgb="FF3366FF"/>
      <rgbColor rgb="FF33CCCC"/>
      <rgbColor rgb="FF99CC00"/>
      <rgbColor rgb="FFFFCC00"/>
      <rgbColor rgb="FFFF9900"/>
      <rgbColor rgb="FFFF6600"/>
      <rgbColor rgb="FF666699"/>
      <rgbColor rgb="FF9CA3AF"/>
      <rgbColor rgb="FF003366"/>
      <rgbColor rgb="FF339966"/>
      <rgbColor rgb="FF003300"/>
      <rgbColor rgb="FF333300"/>
      <rgbColor rgb="FF993300"/>
      <rgbColor rgb="FF993366"/>
      <rgbColor rgb="FF333399"/>
      <rgbColor rgb="FF4A4A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B6B9"/>
    <pageSetUpPr fitToPage="false"/>
  </sheetPr>
  <dimension ref="A1:G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8" min="3" style="0" width="14"/>
  </cols>
  <sheetData>
    <row r="1" customFormat="false" ht="17.35" hidden="false" customHeight="false" outlineLevel="0" collapsed="false">
      <c r="A1" s="1"/>
      <c r="B1" s="2" t="s">
        <v>0</v>
      </c>
      <c r="C1" s="1"/>
      <c r="D1" s="1"/>
      <c r="E1" s="1"/>
      <c r="F1" s="1"/>
      <c r="G1" s="1"/>
    </row>
    <row r="2" customFormat="false" ht="15" hidden="false" customHeight="false" outlineLevel="0" collapsed="false">
      <c r="A2" s="1"/>
      <c r="B2" s="3" t="s">
        <v>1</v>
      </c>
      <c r="C2" s="1"/>
      <c r="D2" s="1"/>
      <c r="E2" s="1"/>
      <c r="F2" s="1"/>
      <c r="G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15" hidden="false" customHeight="false" outlineLevel="0" collapsed="false">
      <c r="A4" s="1"/>
      <c r="B4" s="4" t="s">
        <v>2</v>
      </c>
      <c r="C4" s="1"/>
      <c r="D4" s="1"/>
      <c r="E4" s="3" t="s">
        <v>3</v>
      </c>
      <c r="F4" s="1"/>
      <c r="G4" s="1"/>
    </row>
    <row r="5" customFormat="false" ht="15" hidden="false" customHeight="false" outlineLevel="0" collapsed="false">
      <c r="A5" s="1"/>
      <c r="B5" s="5"/>
      <c r="C5" s="5" t="s">
        <v>4</v>
      </c>
      <c r="D5" s="5" t="s">
        <v>5</v>
      </c>
      <c r="E5" s="1"/>
      <c r="F5" s="1"/>
      <c r="G5" s="1"/>
    </row>
    <row r="6" customFormat="false" ht="15" hidden="false" customHeight="false" outlineLevel="0" collapsed="false">
      <c r="A6" s="1"/>
      <c r="B6" s="6" t="s">
        <v>6</v>
      </c>
      <c r="C6" s="7" t="n">
        <v>0.0008</v>
      </c>
      <c r="D6" s="6" t="s">
        <v>7</v>
      </c>
      <c r="E6" s="1"/>
      <c r="F6" s="1"/>
      <c r="G6" s="1"/>
    </row>
    <row r="7" customFormat="false" ht="15" hidden="false" customHeight="false" outlineLevel="0" collapsed="false">
      <c r="A7" s="1"/>
      <c r="B7" s="6" t="s">
        <v>8</v>
      </c>
      <c r="C7" s="7" t="n">
        <v>0.004</v>
      </c>
      <c r="D7" s="6" t="s">
        <v>7</v>
      </c>
      <c r="E7" s="1"/>
      <c r="F7" s="1"/>
      <c r="G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</row>
    <row r="9" customFormat="false" ht="15" hidden="false" customHeight="false" outlineLevel="0" collapsed="false">
      <c r="A9" s="1"/>
      <c r="B9" s="4" t="s">
        <v>9</v>
      </c>
      <c r="C9" s="1"/>
      <c r="D9" s="1"/>
      <c r="E9" s="1"/>
      <c r="F9" s="1"/>
      <c r="G9" s="1"/>
    </row>
    <row r="10" customFormat="false" ht="15" hidden="false" customHeight="false" outlineLevel="0" collapsed="false">
      <c r="A10" s="1"/>
      <c r="B10" s="5" t="s">
        <v>10</v>
      </c>
      <c r="C10" s="5" t="s">
        <v>11</v>
      </c>
      <c r="D10" s="5" t="s">
        <v>12</v>
      </c>
      <c r="E10" s="1"/>
      <c r="F10" s="1"/>
      <c r="G10" s="1"/>
    </row>
    <row r="11" customFormat="false" ht="15" hidden="false" customHeight="false" outlineLevel="0" collapsed="false">
      <c r="A11" s="1"/>
      <c r="B11" s="6" t="s">
        <v>13</v>
      </c>
      <c r="C11" s="8" t="n">
        <v>1000</v>
      </c>
      <c r="D11" s="3" t="s">
        <v>14</v>
      </c>
      <c r="E11" s="1"/>
      <c r="F11" s="1"/>
      <c r="G11" s="1"/>
    </row>
    <row r="12" customFormat="false" ht="15" hidden="false" customHeight="false" outlineLevel="0" collapsed="false">
      <c r="A12" s="1"/>
      <c r="B12" s="6" t="s">
        <v>15</v>
      </c>
      <c r="C12" s="8" t="n">
        <v>500</v>
      </c>
      <c r="D12" s="3" t="s">
        <v>16</v>
      </c>
      <c r="E12" s="1"/>
      <c r="F12" s="1"/>
      <c r="G12" s="1"/>
    </row>
    <row r="13" customFormat="false" ht="15" hidden="false" customHeight="false" outlineLevel="0" collapsed="false">
      <c r="A13" s="1"/>
      <c r="B13" s="6" t="s">
        <v>17</v>
      </c>
      <c r="C13" s="8" t="n">
        <v>600</v>
      </c>
      <c r="D13" s="3" t="s">
        <v>18</v>
      </c>
      <c r="E13" s="1"/>
      <c r="F13" s="1"/>
      <c r="G13" s="1"/>
    </row>
    <row r="14" customFormat="false" ht="15" hidden="false" customHeight="false" outlineLevel="0" collapsed="false">
      <c r="A14" s="1"/>
      <c r="B14" s="6" t="s">
        <v>19</v>
      </c>
      <c r="C14" s="8" t="n">
        <v>1500</v>
      </c>
      <c r="D14" s="3" t="s">
        <v>20</v>
      </c>
      <c r="E14" s="1"/>
      <c r="F14" s="1"/>
      <c r="G14" s="1"/>
    </row>
    <row r="15" customFormat="false" ht="15" hidden="false" customHeight="false" outlineLevel="0" collapsed="false">
      <c r="A15" s="1"/>
      <c r="B15" s="6" t="s">
        <v>21</v>
      </c>
      <c r="C15" s="8" t="n">
        <v>50</v>
      </c>
      <c r="D15" s="3" t="s">
        <v>22</v>
      </c>
      <c r="E15" s="1"/>
      <c r="F15" s="1"/>
      <c r="G15" s="1"/>
    </row>
    <row r="16" customFormat="false" ht="15" hidden="false" customHeight="false" outlineLevel="0" collapsed="false">
      <c r="A16" s="1"/>
      <c r="B16" s="9" t="s">
        <v>23</v>
      </c>
      <c r="C16" s="10" t="n">
        <f aca="false">SUM(C11:C15)</f>
        <v>3650</v>
      </c>
      <c r="D16" s="1"/>
      <c r="E16" s="1"/>
      <c r="F16" s="1"/>
      <c r="G16" s="1"/>
    </row>
    <row r="17" customFormat="false" ht="15" hidden="false" customHeight="false" outlineLevel="0" collapsed="false">
      <c r="A17" s="1"/>
      <c r="B17" s="6" t="s">
        <v>24</v>
      </c>
      <c r="C17" s="8" t="n">
        <v>650</v>
      </c>
      <c r="D17" s="1"/>
      <c r="E17" s="1"/>
      <c r="F17" s="1"/>
      <c r="G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</row>
    <row r="19" customFormat="false" ht="15" hidden="false" customHeight="false" outlineLevel="0" collapsed="false">
      <c r="A19" s="1"/>
      <c r="B19" s="4" t="s">
        <v>25</v>
      </c>
      <c r="C19" s="1"/>
      <c r="D19" s="1"/>
      <c r="E19" s="1"/>
      <c r="F19" s="1"/>
      <c r="G19" s="1"/>
    </row>
    <row r="20" customFormat="false" ht="15" hidden="false" customHeight="false" outlineLevel="0" collapsed="false">
      <c r="A20" s="1"/>
      <c r="B20" s="6" t="s">
        <v>26</v>
      </c>
      <c r="C20" s="11" t="n">
        <f aca="false">C16/1000*C6</f>
        <v>0.00292</v>
      </c>
      <c r="D20" s="1"/>
      <c r="E20" s="1"/>
      <c r="F20" s="1"/>
      <c r="G20" s="1"/>
    </row>
    <row r="21" customFormat="false" ht="15" hidden="false" customHeight="false" outlineLevel="0" collapsed="false">
      <c r="A21" s="1"/>
      <c r="B21" s="6" t="s">
        <v>27</v>
      </c>
      <c r="C21" s="11" t="n">
        <f aca="false">C17/1000*C7</f>
        <v>0.0026</v>
      </c>
      <c r="D21" s="1"/>
      <c r="E21" s="1"/>
      <c r="F21" s="1"/>
      <c r="G21" s="1"/>
    </row>
    <row r="22" customFormat="false" ht="15" hidden="false" customHeight="false" outlineLevel="0" collapsed="false">
      <c r="A22" s="1"/>
      <c r="B22" s="9" t="s">
        <v>28</v>
      </c>
      <c r="C22" s="12" t="n">
        <f aca="false">C20+C21</f>
        <v>0.00552</v>
      </c>
      <c r="D22" s="1"/>
      <c r="E22" s="1"/>
      <c r="F22" s="1"/>
      <c r="G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</row>
    <row r="24" customFormat="false" ht="15" hidden="false" customHeight="false" outlineLevel="0" collapsed="false">
      <c r="A24" s="1"/>
      <c r="B24" s="4" t="s">
        <v>29</v>
      </c>
      <c r="C24" s="1"/>
      <c r="D24" s="1"/>
      <c r="E24" s="1"/>
      <c r="F24" s="1"/>
      <c r="G24" s="1"/>
    </row>
    <row r="25" customFormat="false" ht="15" hidden="false" customHeight="false" outlineLevel="0" collapsed="false">
      <c r="A25" s="1"/>
      <c r="B25" s="6" t="s">
        <v>30</v>
      </c>
      <c r="C25" s="8" t="n">
        <v>10</v>
      </c>
      <c r="D25" s="6" t="s">
        <v>31</v>
      </c>
      <c r="E25" s="1"/>
      <c r="F25" s="1"/>
      <c r="G25" s="1"/>
    </row>
    <row r="26" customFormat="false" ht="15" hidden="false" customHeight="false" outlineLevel="0" collapsed="false">
      <c r="A26" s="1"/>
      <c r="B26" s="6" t="s">
        <v>32</v>
      </c>
      <c r="C26" s="8" t="n">
        <v>2500</v>
      </c>
      <c r="D26" s="1"/>
      <c r="E26" s="1"/>
      <c r="F26" s="1"/>
      <c r="G26" s="1"/>
    </row>
    <row r="27" customFormat="false" ht="15" hidden="false" customHeight="false" outlineLevel="0" collapsed="false">
      <c r="A27" s="1"/>
      <c r="B27" s="6" t="s">
        <v>33</v>
      </c>
      <c r="C27" s="8" t="n">
        <v>600</v>
      </c>
      <c r="D27" s="1"/>
      <c r="E27" s="1"/>
      <c r="F27" s="1"/>
      <c r="G27" s="1"/>
    </row>
    <row r="28" customFormat="false" ht="15" hidden="false" customHeight="false" outlineLevel="0" collapsed="false">
      <c r="A28" s="1"/>
      <c r="B28" s="9" t="s">
        <v>34</v>
      </c>
      <c r="C28" s="11" t="n">
        <f aca="false">C26/1000*C6+C27/1000*C7</f>
        <v>0.0044</v>
      </c>
      <c r="D28" s="1"/>
      <c r="E28" s="1"/>
      <c r="F28" s="1"/>
      <c r="G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</row>
    <row r="30" customFormat="false" ht="15" hidden="false" customHeight="false" outlineLevel="0" collapsed="false">
      <c r="A30" s="1"/>
      <c r="B30" s="4" t="s">
        <v>35</v>
      </c>
      <c r="C30" s="1"/>
      <c r="D30" s="1"/>
      <c r="E30" s="1"/>
      <c r="F30" s="1"/>
      <c r="G30" s="1"/>
    </row>
    <row r="31" customFormat="false" ht="15" hidden="false" customHeight="false" outlineLevel="0" collapsed="false">
      <c r="A31" s="1"/>
      <c r="B31" s="5" t="s">
        <v>36</v>
      </c>
      <c r="C31" s="5" t="s">
        <v>37</v>
      </c>
      <c r="D31" s="5" t="s">
        <v>38</v>
      </c>
      <c r="E31" s="5" t="s">
        <v>39</v>
      </c>
      <c r="F31" s="5" t="s">
        <v>40</v>
      </c>
      <c r="G31" s="5" t="s">
        <v>41</v>
      </c>
    </row>
    <row r="32" customFormat="false" ht="15" hidden="false" customHeight="false" outlineLevel="0" collapsed="false">
      <c r="A32" s="1"/>
      <c r="B32" s="6" t="s">
        <v>42</v>
      </c>
      <c r="C32" s="13" t="n">
        <v>25</v>
      </c>
      <c r="D32" s="14" t="n">
        <f aca="false">C32*$C$22</f>
        <v>0.138</v>
      </c>
      <c r="E32" s="10" t="n">
        <f aca="false">ROUNDDOWN(C32/$C$25,0)</f>
        <v>2</v>
      </c>
      <c r="F32" s="14" t="n">
        <f aca="false">E32*$C$28</f>
        <v>0.0088</v>
      </c>
      <c r="G32" s="15" t="n">
        <f aca="false">D32+F32</f>
        <v>0.1468</v>
      </c>
    </row>
    <row r="33" customFormat="false" ht="15" hidden="false" customHeight="false" outlineLevel="0" collapsed="false">
      <c r="A33" s="1"/>
      <c r="B33" s="6" t="s">
        <v>43</v>
      </c>
      <c r="C33" s="13" t="n">
        <v>50</v>
      </c>
      <c r="D33" s="14" t="n">
        <f aca="false">C33*$C$22</f>
        <v>0.276</v>
      </c>
      <c r="E33" s="10" t="n">
        <f aca="false">ROUNDDOWN(C33/$C$25,0)</f>
        <v>5</v>
      </c>
      <c r="F33" s="14" t="n">
        <f aca="false">E33*$C$28</f>
        <v>0.022</v>
      </c>
      <c r="G33" s="15" t="n">
        <f aca="false">D33+F33</f>
        <v>0.298</v>
      </c>
    </row>
    <row r="34" customFormat="false" ht="15" hidden="false" customHeight="false" outlineLevel="0" collapsed="false">
      <c r="A34" s="1"/>
      <c r="B34" s="6" t="s">
        <v>44</v>
      </c>
      <c r="C34" s="13" t="n">
        <v>100</v>
      </c>
      <c r="D34" s="14" t="n">
        <f aca="false">C34*$C$22</f>
        <v>0.552</v>
      </c>
      <c r="E34" s="10" t="n">
        <f aca="false">ROUNDDOWN(C34/$C$25,0)</f>
        <v>10</v>
      </c>
      <c r="F34" s="14" t="n">
        <f aca="false">E34*$C$28</f>
        <v>0.044</v>
      </c>
      <c r="G34" s="15" t="n">
        <f aca="false">D34+F34</f>
        <v>0.596</v>
      </c>
    </row>
    <row r="35" customFormat="false" ht="15" hidden="false" customHeight="false" outlineLevel="0" collapsed="false">
      <c r="A35" s="1"/>
      <c r="B35" s="6" t="s">
        <v>45</v>
      </c>
      <c r="C35" s="13" t="n">
        <v>250</v>
      </c>
      <c r="D35" s="14" t="n">
        <f aca="false">C35*$C$22</f>
        <v>1.38</v>
      </c>
      <c r="E35" s="10" t="n">
        <f aca="false">ROUNDDOWN(C35/$C$25,0)</f>
        <v>25</v>
      </c>
      <c r="F35" s="14" t="n">
        <f aca="false">E35*$C$28</f>
        <v>0.11</v>
      </c>
      <c r="G35" s="15" t="n">
        <f aca="false">D35+F35</f>
        <v>1.49</v>
      </c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</row>
    <row r="38" customFormat="false" ht="15" hidden="false" customHeight="false" outlineLevel="0" collapsed="false">
      <c r="A38" s="1"/>
      <c r="B38" s="4" t="s">
        <v>46</v>
      </c>
      <c r="C38" s="1"/>
      <c r="D38" s="1"/>
      <c r="E38" s="3" t="s">
        <v>47</v>
      </c>
      <c r="F38" s="1"/>
      <c r="G38" s="1"/>
    </row>
    <row r="39" customFormat="false" ht="15" hidden="false" customHeight="false" outlineLevel="0" collapsed="false">
      <c r="A39" s="1"/>
      <c r="B39" s="6" t="s">
        <v>48</v>
      </c>
      <c r="C39" s="7" t="n">
        <v>0.003</v>
      </c>
      <c r="D39" s="1"/>
      <c r="E39" s="1"/>
      <c r="F39" s="1"/>
      <c r="G39" s="1"/>
    </row>
    <row r="40" customFormat="false" ht="15" hidden="false" customHeight="false" outlineLevel="0" collapsed="false">
      <c r="A40" s="1"/>
      <c r="B40" s="6" t="s">
        <v>49</v>
      </c>
      <c r="C40" s="7" t="n">
        <v>0.015</v>
      </c>
      <c r="D40" s="1"/>
      <c r="E40" s="1"/>
      <c r="F40" s="1"/>
      <c r="G40" s="1"/>
    </row>
    <row r="41" customFormat="false" ht="15" hidden="false" customHeight="false" outlineLevel="0" collapsed="false">
      <c r="A41" s="1"/>
      <c r="B41" s="9" t="s">
        <v>50</v>
      </c>
      <c r="C41" s="11" t="n">
        <f aca="false">C16/1000*C39+C17/1000*C40</f>
        <v>0.0207</v>
      </c>
      <c r="D41" s="1"/>
      <c r="E41" s="1"/>
      <c r="F41" s="1"/>
      <c r="G41" s="1"/>
    </row>
    <row r="42" customFormat="false" ht="15" hidden="false" customHeight="false" outlineLevel="0" collapsed="false">
      <c r="A42" s="1"/>
      <c r="B42" s="6" t="s">
        <v>51</v>
      </c>
      <c r="C42" s="16" t="n">
        <f aca="false">C41/C22</f>
        <v>3.75</v>
      </c>
      <c r="D42" s="1"/>
      <c r="E42" s="1"/>
      <c r="F42" s="1"/>
      <c r="G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</row>
    <row r="44" customFormat="false" ht="15" hidden="false" customHeight="false" outlineLevel="0" collapsed="false">
      <c r="A44" s="1"/>
      <c r="B44" s="5" t="s">
        <v>36</v>
      </c>
      <c r="C44" s="5" t="s">
        <v>52</v>
      </c>
      <c r="D44" s="5" t="s">
        <v>53</v>
      </c>
      <c r="E44" s="5" t="s">
        <v>54</v>
      </c>
      <c r="F44" s="1"/>
      <c r="G44" s="1"/>
    </row>
    <row r="45" customFormat="false" ht="15" hidden="false" customHeight="false" outlineLevel="0" collapsed="false">
      <c r="A45" s="1"/>
      <c r="B45" s="6" t="s">
        <v>42</v>
      </c>
      <c r="C45" s="17" t="n">
        <f aca="false">G32</f>
        <v>0.1468</v>
      </c>
      <c r="D45" s="14" t="n">
        <f aca="false">C32*C41+E32*(C26/1000*C39+C27/1000*C40)</f>
        <v>0.5505</v>
      </c>
      <c r="E45" s="14" t="n">
        <f aca="false">D45-C45</f>
        <v>0.4037</v>
      </c>
      <c r="F45" s="1"/>
      <c r="G45" s="1"/>
    </row>
    <row r="46" customFormat="false" ht="15" hidden="false" customHeight="false" outlineLevel="0" collapsed="false">
      <c r="A46" s="1"/>
      <c r="B46" s="6" t="s">
        <v>43</v>
      </c>
      <c r="C46" s="17" t="n">
        <f aca="false">G33</f>
        <v>0.298</v>
      </c>
      <c r="D46" s="14" t="n">
        <f aca="false">C33*C41+E33*(C26/1000*C39+C27/1000*C40)</f>
        <v>1.1175</v>
      </c>
      <c r="E46" s="14" t="n">
        <f aca="false">D46-C46</f>
        <v>0.8195</v>
      </c>
      <c r="F46" s="1"/>
      <c r="G46" s="1"/>
    </row>
    <row r="47" customFormat="false" ht="15" hidden="false" customHeight="false" outlineLevel="0" collapsed="false">
      <c r="A47" s="1"/>
      <c r="B47" s="6" t="s">
        <v>44</v>
      </c>
      <c r="C47" s="17" t="n">
        <f aca="false">G34</f>
        <v>0.596</v>
      </c>
      <c r="D47" s="14" t="n">
        <f aca="false">C34*C41+E34*(C26/1000*C39+C27/1000*C40)</f>
        <v>2.235</v>
      </c>
      <c r="E47" s="14" t="n">
        <f aca="false">D47-C47</f>
        <v>1.639</v>
      </c>
      <c r="F47" s="1"/>
      <c r="G47" s="1"/>
    </row>
    <row r="48" customFormat="false" ht="15" hidden="false" customHeight="false" outlineLevel="0" collapsed="false">
      <c r="A48" s="1"/>
      <c r="B48" s="6" t="s">
        <v>45</v>
      </c>
      <c r="C48" s="17" t="n">
        <f aca="false">G35</f>
        <v>1.49</v>
      </c>
      <c r="D48" s="14" t="n">
        <f aca="false">C35*C41+E35*(C26/1000*C39+C27/1000*C40)</f>
        <v>5.5875</v>
      </c>
      <c r="E48" s="14" t="n">
        <f aca="false">D48-C48</f>
        <v>4.0975</v>
      </c>
      <c r="F48" s="1"/>
      <c r="G48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B6E4"/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9" min="3" style="0" width="16"/>
  </cols>
  <sheetData>
    <row r="1" customFormat="false" ht="17.35" hidden="false" customHeight="false" outlineLevel="0" collapsed="false">
      <c r="A1" s="1"/>
      <c r="B1" s="2" t="s">
        <v>55</v>
      </c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4" t="s">
        <v>56</v>
      </c>
      <c r="C3" s="1"/>
      <c r="D3" s="1"/>
      <c r="E3" s="1"/>
      <c r="F3" s="1"/>
      <c r="G3" s="1"/>
      <c r="H3" s="1"/>
    </row>
    <row r="4" customFormat="false" ht="15" hidden="false" customHeight="false" outlineLevel="0" collapsed="false">
      <c r="A4" s="1"/>
      <c r="B4" s="5" t="s">
        <v>57</v>
      </c>
      <c r="C4" s="5" t="s">
        <v>58</v>
      </c>
      <c r="D4" s="5" t="s">
        <v>59</v>
      </c>
      <c r="E4" s="5" t="s">
        <v>60</v>
      </c>
      <c r="F4" s="5" t="s">
        <v>61</v>
      </c>
      <c r="G4" s="5" t="s">
        <v>62</v>
      </c>
      <c r="H4" s="1"/>
    </row>
    <row r="5" customFormat="false" ht="15" hidden="false" customHeight="false" outlineLevel="0" collapsed="false">
      <c r="A5" s="1"/>
      <c r="B5" s="6" t="s">
        <v>63</v>
      </c>
      <c r="C5" s="18" t="n">
        <v>0</v>
      </c>
      <c r="D5" s="8" t="n">
        <v>50</v>
      </c>
      <c r="E5" s="6" t="s">
        <v>64</v>
      </c>
      <c r="F5" s="6" t="s">
        <v>65</v>
      </c>
      <c r="G5" s="6" t="s">
        <v>66</v>
      </c>
      <c r="H5" s="1"/>
    </row>
    <row r="6" customFormat="false" ht="15" hidden="false" customHeight="false" outlineLevel="0" collapsed="false">
      <c r="A6" s="1"/>
      <c r="B6" s="6" t="s">
        <v>67</v>
      </c>
      <c r="C6" s="18" t="n">
        <v>5</v>
      </c>
      <c r="D6" s="8" t="n">
        <v>300</v>
      </c>
      <c r="E6" s="6" t="s">
        <v>64</v>
      </c>
      <c r="F6" s="6" t="s">
        <v>68</v>
      </c>
      <c r="G6" s="6" t="s">
        <v>69</v>
      </c>
      <c r="H6" s="1"/>
    </row>
    <row r="7" customFormat="false" ht="15" hidden="false" customHeight="false" outlineLevel="0" collapsed="false">
      <c r="A7" s="1"/>
      <c r="B7" s="6" t="s">
        <v>70</v>
      </c>
      <c r="C7" s="18" t="n">
        <v>10</v>
      </c>
      <c r="D7" s="8" t="n">
        <v>1000</v>
      </c>
      <c r="E7" s="6" t="s">
        <v>71</v>
      </c>
      <c r="F7" s="6" t="s">
        <v>72</v>
      </c>
      <c r="G7" s="6" t="s">
        <v>73</v>
      </c>
      <c r="H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</row>
    <row r="9" customFormat="false" ht="15" hidden="false" customHeight="false" outlineLevel="0" collapsed="false">
      <c r="A9" s="1"/>
      <c r="B9" s="4" t="s">
        <v>74</v>
      </c>
      <c r="C9" s="1"/>
      <c r="D9" s="1"/>
      <c r="E9" s="1"/>
      <c r="F9" s="1"/>
      <c r="G9" s="1"/>
      <c r="H9" s="1"/>
    </row>
    <row r="10" customFormat="false" ht="15" hidden="false" customHeight="false" outlineLevel="0" collapsed="false">
      <c r="A10" s="1"/>
      <c r="B10" s="5" t="s">
        <v>57</v>
      </c>
      <c r="C10" s="5" t="s">
        <v>75</v>
      </c>
      <c r="D10" s="5" t="s">
        <v>39</v>
      </c>
      <c r="E10" s="5" t="s">
        <v>76</v>
      </c>
      <c r="F10" s="5" t="s">
        <v>77</v>
      </c>
      <c r="G10" s="5" t="s">
        <v>78</v>
      </c>
      <c r="H10" s="5" t="s">
        <v>79</v>
      </c>
    </row>
    <row r="11" customFormat="false" ht="15" hidden="false" customHeight="false" outlineLevel="0" collapsed="false">
      <c r="A11" s="1"/>
      <c r="B11" s="19" t="str">
        <f aca="false">B5</f>
        <v>Free</v>
      </c>
      <c r="C11" s="20" t="n">
        <f aca="false">D5</f>
        <v>50</v>
      </c>
      <c r="D11" s="10" t="n">
        <f aca="false">ROUNDDOWN(C11/'Unit Economics'!$C$25,0)</f>
        <v>5</v>
      </c>
      <c r="E11" s="14" t="n">
        <f aca="false">C11*'Unit Economics'!$C$22+D11*'Unit Economics'!$C$28</f>
        <v>0.298</v>
      </c>
      <c r="F11" s="17" t="n">
        <f aca="false">C5</f>
        <v>0</v>
      </c>
      <c r="G11" s="14" t="n">
        <f aca="false">F11-E11</f>
        <v>-0.298</v>
      </c>
      <c r="H11" s="21" t="str">
        <f aca="false">IF(F11=0,"-",G11/F11)</f>
        <v>-</v>
      </c>
    </row>
    <row r="12" customFormat="false" ht="15" hidden="false" customHeight="false" outlineLevel="0" collapsed="false">
      <c r="A12" s="1"/>
      <c r="B12" s="19" t="str">
        <f aca="false">B6</f>
        <v>Storyteller</v>
      </c>
      <c r="C12" s="20" t="n">
        <f aca="false">D6</f>
        <v>300</v>
      </c>
      <c r="D12" s="10" t="n">
        <f aca="false">ROUNDDOWN(C12/'Unit Economics'!$C$25,0)</f>
        <v>30</v>
      </c>
      <c r="E12" s="14" t="n">
        <f aca="false">C12*'Unit Economics'!$C$22+D12*'Unit Economics'!$C$28</f>
        <v>1.788</v>
      </c>
      <c r="F12" s="17" t="n">
        <f aca="false">C6</f>
        <v>5</v>
      </c>
      <c r="G12" s="14" t="n">
        <f aca="false">F12-E12</f>
        <v>3.212</v>
      </c>
      <c r="H12" s="21" t="n">
        <f aca="false">IF(F12=0,"-",G12/F12)</f>
        <v>0.6424</v>
      </c>
    </row>
    <row r="13" customFormat="false" ht="15" hidden="false" customHeight="false" outlineLevel="0" collapsed="false">
      <c r="A13" s="1"/>
      <c r="B13" s="19" t="str">
        <f aca="false">B7</f>
        <v>Author</v>
      </c>
      <c r="C13" s="20" t="n">
        <f aca="false">D7</f>
        <v>1000</v>
      </c>
      <c r="D13" s="10" t="n">
        <f aca="false">ROUNDDOWN(C13/'Unit Economics'!$C$25,0)</f>
        <v>100</v>
      </c>
      <c r="E13" s="14" t="n">
        <f aca="false">C13*'Unit Economics'!$C$41+D13*('Unit Economics'!C26/1000*'Unit Economics'!C39+'Unit Economics'!C27/1000*'Unit Economics'!C40)</f>
        <v>22.35</v>
      </c>
      <c r="F13" s="17" t="n">
        <f aca="false">C7</f>
        <v>10</v>
      </c>
      <c r="G13" s="14" t="n">
        <f aca="false">F13-E13</f>
        <v>-12.35</v>
      </c>
      <c r="H13" s="21" t="n">
        <f aca="false">IF(F13=0,"-",G13/F13)</f>
        <v>-1.235</v>
      </c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</row>
    <row r="15" customFormat="false" ht="15" hidden="false" customHeight="false" outlineLevel="0" collapsed="false">
      <c r="A15" s="1"/>
      <c r="B15" s="4" t="s">
        <v>80</v>
      </c>
      <c r="C15" s="1"/>
      <c r="D15" s="1"/>
      <c r="E15" s="1"/>
      <c r="F15" s="3" t="s">
        <v>81</v>
      </c>
      <c r="G15" s="1"/>
      <c r="H15" s="1"/>
    </row>
    <row r="16" customFormat="false" ht="15" hidden="false" customHeight="false" outlineLevel="0" collapsed="false">
      <c r="A16" s="1"/>
      <c r="B16" s="5" t="s">
        <v>57</v>
      </c>
      <c r="C16" s="5" t="s">
        <v>82</v>
      </c>
      <c r="D16" s="5" t="s">
        <v>39</v>
      </c>
      <c r="E16" s="5" t="s">
        <v>76</v>
      </c>
      <c r="F16" s="5" t="s">
        <v>77</v>
      </c>
      <c r="G16" s="5" t="s">
        <v>78</v>
      </c>
      <c r="H16" s="5" t="s">
        <v>79</v>
      </c>
    </row>
    <row r="17" customFormat="false" ht="15" hidden="false" customHeight="false" outlineLevel="0" collapsed="false">
      <c r="A17" s="1"/>
      <c r="B17" s="19" t="str">
        <f aca="false">B5</f>
        <v>Free</v>
      </c>
      <c r="C17" s="8" t="n">
        <v>20</v>
      </c>
      <c r="D17" s="10" t="n">
        <f aca="false">ROUNDDOWN(C17/'Unit Economics'!$C$25,0)</f>
        <v>2</v>
      </c>
      <c r="E17" s="14" t="n">
        <f aca="false">C17*'Unit Economics'!$C$22+D17*'Unit Economics'!$C$28</f>
        <v>0.1192</v>
      </c>
      <c r="F17" s="17" t="n">
        <f aca="false">C5</f>
        <v>0</v>
      </c>
      <c r="G17" s="14" t="n">
        <f aca="false">F17-E17</f>
        <v>-0.1192</v>
      </c>
      <c r="H17" s="21" t="str">
        <f aca="false">IF(F17=0,"-",G17/F17)</f>
        <v>-</v>
      </c>
    </row>
    <row r="18" customFormat="false" ht="15" hidden="false" customHeight="false" outlineLevel="0" collapsed="false">
      <c r="A18" s="1"/>
      <c r="B18" s="19" t="str">
        <f aca="false">B6</f>
        <v>Storyteller</v>
      </c>
      <c r="C18" s="8" t="n">
        <v>120</v>
      </c>
      <c r="D18" s="10" t="n">
        <f aca="false">ROUNDDOWN(C18/'Unit Economics'!$C$25,0)</f>
        <v>12</v>
      </c>
      <c r="E18" s="14" t="n">
        <f aca="false">C18*'Unit Economics'!$C$22+D18*'Unit Economics'!$C$28</f>
        <v>0.7152</v>
      </c>
      <c r="F18" s="17" t="n">
        <f aca="false">C6</f>
        <v>5</v>
      </c>
      <c r="G18" s="14" t="n">
        <f aca="false">F18-E18</f>
        <v>4.2848</v>
      </c>
      <c r="H18" s="21" t="n">
        <f aca="false">IF(F18=0,"-",G18/F18)</f>
        <v>0.85696</v>
      </c>
    </row>
    <row r="19" customFormat="false" ht="15" hidden="false" customHeight="false" outlineLevel="0" collapsed="false">
      <c r="A19" s="1"/>
      <c r="B19" s="19" t="str">
        <f aca="false">B7</f>
        <v>Author</v>
      </c>
      <c r="C19" s="8" t="n">
        <v>400</v>
      </c>
      <c r="D19" s="10" t="n">
        <f aca="false">ROUNDDOWN(C19/'Unit Economics'!$C$25,0)</f>
        <v>40</v>
      </c>
      <c r="E19" s="14" t="n">
        <f aca="false">C19*'Unit Economics'!$C$41+D19*('Unit Economics'!C26/1000*'Unit Economics'!C39+'Unit Economics'!C27/1000*'Unit Economics'!C40)</f>
        <v>8.94</v>
      </c>
      <c r="F19" s="17" t="n">
        <f aca="false">C7</f>
        <v>10</v>
      </c>
      <c r="G19" s="14" t="n">
        <f aca="false">F19-E19</f>
        <v>1.06</v>
      </c>
      <c r="H19" s="21" t="n">
        <f aca="false">IF(F19=0,"-",G19/F19)</f>
        <v>0.106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E6CF"/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9" min="3" style="0" width="14"/>
  </cols>
  <sheetData>
    <row r="1" customFormat="false" ht="17.35" hidden="false" customHeight="false" outlineLevel="0" collapsed="false">
      <c r="A1" s="1"/>
      <c r="B1" s="2" t="s">
        <v>83</v>
      </c>
      <c r="C1" s="1"/>
      <c r="D1" s="1"/>
      <c r="E1" s="1"/>
      <c r="F1" s="1"/>
      <c r="G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A3" s="1"/>
      <c r="B3" s="4" t="s">
        <v>84</v>
      </c>
      <c r="C3" s="1"/>
      <c r="D3" s="1"/>
      <c r="E3" s="1"/>
      <c r="F3" s="1"/>
      <c r="G3" s="1"/>
    </row>
    <row r="4" customFormat="false" ht="15" hidden="false" customHeight="false" outlineLevel="0" collapsed="false">
      <c r="A4" s="1"/>
      <c r="B4" s="6" t="s">
        <v>85</v>
      </c>
      <c r="C4" s="18" t="n">
        <v>0</v>
      </c>
      <c r="D4" s="3" t="s">
        <v>86</v>
      </c>
      <c r="E4" s="1"/>
      <c r="F4" s="1"/>
      <c r="G4" s="1"/>
    </row>
    <row r="5" customFormat="false" ht="15" hidden="false" customHeight="false" outlineLevel="0" collapsed="false">
      <c r="A5" s="1"/>
      <c r="B5" s="6" t="s">
        <v>87</v>
      </c>
      <c r="C5" s="18" t="n">
        <v>7</v>
      </c>
      <c r="D5" s="3" t="s">
        <v>88</v>
      </c>
      <c r="E5" s="1"/>
      <c r="F5" s="1"/>
      <c r="G5" s="1"/>
    </row>
    <row r="6" customFormat="false" ht="15" hidden="false" customHeight="false" outlineLevel="0" collapsed="false">
      <c r="A6" s="1"/>
      <c r="B6" s="6" t="s">
        <v>89</v>
      </c>
      <c r="C6" s="18" t="n">
        <v>5</v>
      </c>
      <c r="D6" s="1"/>
      <c r="E6" s="1"/>
      <c r="F6" s="1"/>
      <c r="G6" s="1"/>
    </row>
    <row r="7" customFormat="false" ht="15" hidden="false" customHeight="false" outlineLevel="0" collapsed="false">
      <c r="A7" s="1"/>
      <c r="B7" s="6" t="s">
        <v>90</v>
      </c>
      <c r="C7" s="18" t="n">
        <v>0</v>
      </c>
      <c r="D7" s="3" t="s">
        <v>91</v>
      </c>
      <c r="E7" s="1"/>
      <c r="F7" s="1"/>
      <c r="G7" s="1"/>
    </row>
    <row r="8" customFormat="false" ht="15" hidden="false" customHeight="false" outlineLevel="0" collapsed="false">
      <c r="A8" s="1"/>
      <c r="B8" s="9" t="s">
        <v>92</v>
      </c>
      <c r="C8" s="22" t="n">
        <f aca="false">SUM(C4:C7)</f>
        <v>12</v>
      </c>
      <c r="D8" s="1"/>
      <c r="E8" s="1"/>
      <c r="F8" s="1"/>
      <c r="G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15" hidden="false" customHeight="false" outlineLevel="0" collapsed="false">
      <c r="A10" s="1"/>
      <c r="B10" s="4" t="s">
        <v>93</v>
      </c>
      <c r="C10" s="1"/>
      <c r="D10" s="1"/>
      <c r="E10" s="1"/>
      <c r="F10" s="1"/>
      <c r="G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</row>
    <row r="12" customFormat="false" ht="15" hidden="false" customHeight="false" outlineLevel="0" collapsed="false">
      <c r="A12" s="1"/>
      <c r="B12" s="5"/>
      <c r="C12" s="5" t="s">
        <v>94</v>
      </c>
      <c r="D12" s="5" t="s">
        <v>95</v>
      </c>
      <c r="E12" s="5" t="s">
        <v>96</v>
      </c>
      <c r="F12" s="5" t="s">
        <v>97</v>
      </c>
      <c r="G12" s="5" t="s">
        <v>98</v>
      </c>
    </row>
    <row r="13" customFormat="false" ht="15" hidden="false" customHeight="false" outlineLevel="0" collapsed="false">
      <c r="A13" s="1"/>
      <c r="B13" s="6" t="s">
        <v>99</v>
      </c>
      <c r="C13" s="8" t="n">
        <v>50</v>
      </c>
      <c r="D13" s="8" t="n">
        <v>300</v>
      </c>
      <c r="E13" s="8" t="n">
        <v>1000</v>
      </c>
      <c r="F13" s="8" t="n">
        <v>5000</v>
      </c>
      <c r="G13" s="8" t="n">
        <v>15000</v>
      </c>
    </row>
    <row r="14" customFormat="false" ht="15" hidden="false" customHeight="false" outlineLevel="0" collapsed="false">
      <c r="A14" s="1"/>
      <c r="B14" s="6" t="s">
        <v>100</v>
      </c>
      <c r="C14" s="8" t="n">
        <v>5</v>
      </c>
      <c r="D14" s="8" t="n">
        <v>30</v>
      </c>
      <c r="E14" s="8" t="n">
        <v>100</v>
      </c>
      <c r="F14" s="8" t="n">
        <v>500</v>
      </c>
      <c r="G14" s="8" t="n">
        <v>2000</v>
      </c>
    </row>
    <row r="15" customFormat="false" ht="15" hidden="false" customHeight="false" outlineLevel="0" collapsed="false">
      <c r="A15" s="1"/>
      <c r="B15" s="6" t="s">
        <v>101</v>
      </c>
      <c r="C15" s="8" t="n">
        <v>2</v>
      </c>
      <c r="D15" s="8" t="n">
        <v>10</v>
      </c>
      <c r="E15" s="8" t="n">
        <v>40</v>
      </c>
      <c r="F15" s="8" t="n">
        <v>200</v>
      </c>
      <c r="G15" s="8" t="n">
        <v>800</v>
      </c>
    </row>
    <row r="16" customFormat="false" ht="15" hidden="false" customHeight="false" outlineLevel="0" collapsed="false">
      <c r="A16" s="1"/>
      <c r="B16" s="9" t="s">
        <v>102</v>
      </c>
      <c r="C16" s="10" t="n">
        <f aca="false">C13+C14+C15</f>
        <v>57</v>
      </c>
      <c r="D16" s="10" t="n">
        <f aca="false">D13+D14+D15</f>
        <v>340</v>
      </c>
      <c r="E16" s="10" t="n">
        <f aca="false">E13+E14+E15</f>
        <v>1140</v>
      </c>
      <c r="F16" s="10" t="n">
        <f aca="false">F13+F14+F15</f>
        <v>5700</v>
      </c>
      <c r="G16" s="10" t="n">
        <f aca="false">G13+G14+G15</f>
        <v>17800</v>
      </c>
    </row>
    <row r="17" customFormat="false" ht="15" hidden="false" customHeight="false" outlineLevel="0" collapsed="false">
      <c r="A17" s="1"/>
      <c r="B17" s="6" t="s">
        <v>103</v>
      </c>
      <c r="C17" s="23" t="n">
        <f aca="false">(C14+C15)/C16</f>
        <v>0.12280701754386</v>
      </c>
      <c r="D17" s="23" t="n">
        <f aca="false">(D14+D15)/D16</f>
        <v>0.117647058823529</v>
      </c>
      <c r="E17" s="23" t="n">
        <f aca="false">(E14+E15)/E16</f>
        <v>0.12280701754386</v>
      </c>
      <c r="F17" s="23" t="n">
        <f aca="false">(F14+F15)/F16</f>
        <v>0.12280701754386</v>
      </c>
      <c r="G17" s="23" t="n">
        <f aca="false">(G14+G15)/G16</f>
        <v>0.157303370786517</v>
      </c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</row>
    <row r="19" customFormat="false" ht="15" hidden="false" customHeight="false" outlineLevel="0" collapsed="false">
      <c r="A19" s="1"/>
      <c r="B19" s="24" t="s">
        <v>104</v>
      </c>
      <c r="C19" s="25"/>
      <c r="D19" s="25"/>
      <c r="E19" s="25"/>
      <c r="F19" s="25"/>
      <c r="G19" s="25"/>
    </row>
    <row r="20" customFormat="false" ht="15" hidden="false" customHeight="false" outlineLevel="0" collapsed="false">
      <c r="A20" s="1"/>
      <c r="B20" s="6" t="s">
        <v>105</v>
      </c>
      <c r="C20" s="22" t="n">
        <f aca="false">C14*'Subscription Tiers'!$C$6</f>
        <v>25</v>
      </c>
      <c r="D20" s="22" t="n">
        <f aca="false">D14*'Subscription Tiers'!$C$6</f>
        <v>150</v>
      </c>
      <c r="E20" s="22" t="n">
        <f aca="false">E14*'Subscription Tiers'!$C$6</f>
        <v>500</v>
      </c>
      <c r="F20" s="22" t="n">
        <f aca="false">F14*'Subscription Tiers'!$C$6</f>
        <v>2500</v>
      </c>
      <c r="G20" s="22" t="n">
        <f aca="false">G14*'Subscription Tiers'!$C$6</f>
        <v>10000</v>
      </c>
    </row>
    <row r="21" customFormat="false" ht="15" hidden="false" customHeight="false" outlineLevel="0" collapsed="false">
      <c r="A21" s="1"/>
      <c r="B21" s="6" t="s">
        <v>106</v>
      </c>
      <c r="C21" s="22" t="n">
        <f aca="false">C15*'Subscription Tiers'!$C$7</f>
        <v>20</v>
      </c>
      <c r="D21" s="22" t="n">
        <f aca="false">D15*'Subscription Tiers'!$C$7</f>
        <v>100</v>
      </c>
      <c r="E21" s="22" t="n">
        <f aca="false">E15*'Subscription Tiers'!$C$7</f>
        <v>400</v>
      </c>
      <c r="F21" s="22" t="n">
        <f aca="false">F15*'Subscription Tiers'!$C$7</f>
        <v>2000</v>
      </c>
      <c r="G21" s="22" t="n">
        <f aca="false">G15*'Subscription Tiers'!$C$7</f>
        <v>8000</v>
      </c>
    </row>
    <row r="22" customFormat="false" ht="15" hidden="false" customHeight="false" outlineLevel="0" collapsed="false">
      <c r="A22" s="1"/>
      <c r="B22" s="9" t="s">
        <v>107</v>
      </c>
      <c r="C22" s="26" t="n">
        <f aca="false">C20+C21</f>
        <v>45</v>
      </c>
      <c r="D22" s="26" t="n">
        <f aca="false">D20+D21</f>
        <v>250</v>
      </c>
      <c r="E22" s="26" t="n">
        <f aca="false">E20+E21</f>
        <v>900</v>
      </c>
      <c r="F22" s="26" t="n">
        <f aca="false">F20+F21</f>
        <v>4500</v>
      </c>
      <c r="G22" s="26" t="n">
        <f aca="false">G20+G21</f>
        <v>18000</v>
      </c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</row>
    <row r="24" customFormat="false" ht="15" hidden="false" customHeight="false" outlineLevel="0" collapsed="false">
      <c r="A24" s="1"/>
      <c r="B24" s="24" t="s">
        <v>108</v>
      </c>
      <c r="C24" s="25"/>
      <c r="D24" s="25"/>
      <c r="E24" s="25"/>
      <c r="F24" s="25"/>
      <c r="G24" s="25"/>
    </row>
    <row r="25" customFormat="false" ht="15" hidden="false" customHeight="false" outlineLevel="0" collapsed="false">
      <c r="A25" s="1"/>
      <c r="B25" s="6" t="s">
        <v>109</v>
      </c>
      <c r="C25" s="22" t="n">
        <f aca="false">C13*'Subscription Tiers'!$E$17</f>
        <v>5.96</v>
      </c>
      <c r="D25" s="22" t="n">
        <f aca="false">D13*'Subscription Tiers'!$E$17</f>
        <v>35.76</v>
      </c>
      <c r="E25" s="22" t="n">
        <f aca="false">E13*'Subscription Tiers'!$E$17</f>
        <v>119.2</v>
      </c>
      <c r="F25" s="22" t="n">
        <f aca="false">F13*'Subscription Tiers'!$E$17</f>
        <v>596</v>
      </c>
      <c r="G25" s="22" t="n">
        <f aca="false">G13*'Subscription Tiers'!$E$17</f>
        <v>1788</v>
      </c>
    </row>
    <row r="26" customFormat="false" ht="15" hidden="false" customHeight="false" outlineLevel="0" collapsed="false">
      <c r="A26" s="1"/>
      <c r="B26" s="6" t="s">
        <v>110</v>
      </c>
      <c r="C26" s="22" t="n">
        <f aca="false">C14*'Subscription Tiers'!$E$18</f>
        <v>3.576</v>
      </c>
      <c r="D26" s="22" t="n">
        <f aca="false">D14*'Subscription Tiers'!$E$18</f>
        <v>21.456</v>
      </c>
      <c r="E26" s="22" t="n">
        <f aca="false">E14*'Subscription Tiers'!$E$18</f>
        <v>71.52</v>
      </c>
      <c r="F26" s="22" t="n">
        <f aca="false">F14*'Subscription Tiers'!$E$18</f>
        <v>357.6</v>
      </c>
      <c r="G26" s="22" t="n">
        <f aca="false">G14*'Subscription Tiers'!$E$18</f>
        <v>1430.4</v>
      </c>
    </row>
    <row r="27" customFormat="false" ht="15" hidden="false" customHeight="false" outlineLevel="0" collapsed="false">
      <c r="A27" s="1"/>
      <c r="B27" s="6" t="s">
        <v>111</v>
      </c>
      <c r="C27" s="22" t="n">
        <f aca="false">C15*'Subscription Tiers'!$E$19</f>
        <v>17.88</v>
      </c>
      <c r="D27" s="22" t="n">
        <f aca="false">D15*'Subscription Tiers'!$E$19</f>
        <v>89.4</v>
      </c>
      <c r="E27" s="22" t="n">
        <f aca="false">E15*'Subscription Tiers'!$E$19</f>
        <v>357.6</v>
      </c>
      <c r="F27" s="22" t="n">
        <f aca="false">F15*'Subscription Tiers'!$E$19</f>
        <v>1788</v>
      </c>
      <c r="G27" s="22" t="n">
        <f aca="false">G15*'Subscription Tiers'!$E$19</f>
        <v>7152</v>
      </c>
    </row>
    <row r="28" customFormat="false" ht="15" hidden="false" customHeight="false" outlineLevel="0" collapsed="false">
      <c r="A28" s="1"/>
      <c r="B28" s="9" t="s">
        <v>112</v>
      </c>
      <c r="C28" s="27" t="n">
        <f aca="false">C25+C26+C27</f>
        <v>27.416</v>
      </c>
      <c r="D28" s="27" t="n">
        <f aca="false">D25+D26+D27</f>
        <v>146.616</v>
      </c>
      <c r="E28" s="27" t="n">
        <f aca="false">E25+E26+E27</f>
        <v>548.32</v>
      </c>
      <c r="F28" s="27" t="n">
        <f aca="false">F25+F26+F27</f>
        <v>2741.6</v>
      </c>
      <c r="G28" s="27" t="n">
        <f aca="false">G25+G26+G27</f>
        <v>10370.4</v>
      </c>
    </row>
    <row r="29" customFormat="false" ht="15" hidden="false" customHeight="false" outlineLevel="0" collapsed="false">
      <c r="A29" s="1"/>
      <c r="B29" s="6" t="s">
        <v>113</v>
      </c>
      <c r="C29" s="22" t="n">
        <f aca="false">$C$8</f>
        <v>12</v>
      </c>
      <c r="D29" s="22" t="n">
        <f aca="false">$C$8</f>
        <v>12</v>
      </c>
      <c r="E29" s="22" t="n">
        <f aca="false">$C$8</f>
        <v>12</v>
      </c>
      <c r="F29" s="22" t="n">
        <f aca="false">$C$8</f>
        <v>12</v>
      </c>
      <c r="G29" s="22" t="n">
        <f aca="false">$C$8</f>
        <v>12</v>
      </c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</row>
    <row r="31" customFormat="false" ht="15" hidden="false" customHeight="false" outlineLevel="0" collapsed="false">
      <c r="A31" s="1"/>
      <c r="B31" s="24" t="s">
        <v>114</v>
      </c>
      <c r="C31" s="25"/>
      <c r="D31" s="25"/>
      <c r="E31" s="25"/>
      <c r="F31" s="25"/>
      <c r="G31" s="25"/>
    </row>
    <row r="32" customFormat="false" ht="15" hidden="false" customHeight="false" outlineLevel="0" collapsed="false">
      <c r="A32" s="1"/>
      <c r="B32" s="6" t="s">
        <v>115</v>
      </c>
      <c r="C32" s="22" t="n">
        <f aca="false">C28+C29</f>
        <v>39.416</v>
      </c>
      <c r="D32" s="22" t="n">
        <f aca="false">D28+D29</f>
        <v>158.616</v>
      </c>
      <c r="E32" s="22" t="n">
        <f aca="false">E28+E29</f>
        <v>560.32</v>
      </c>
      <c r="F32" s="22" t="n">
        <f aca="false">F28+F29</f>
        <v>2753.6</v>
      </c>
      <c r="G32" s="22" t="n">
        <f aca="false">G28+G29</f>
        <v>10382.4</v>
      </c>
    </row>
    <row r="33" customFormat="false" ht="15" hidden="false" customHeight="false" outlineLevel="0" collapsed="false">
      <c r="A33" s="1"/>
      <c r="B33" s="9" t="s">
        <v>116</v>
      </c>
      <c r="C33" s="28" t="n">
        <f aca="false">C22-C32</f>
        <v>5.584</v>
      </c>
      <c r="D33" s="28" t="n">
        <f aca="false">D22-D32</f>
        <v>91.384</v>
      </c>
      <c r="E33" s="28" t="n">
        <f aca="false">E22-E32</f>
        <v>339.68</v>
      </c>
      <c r="F33" s="28" t="n">
        <f aca="false">F22-F32</f>
        <v>1746.4</v>
      </c>
      <c r="G33" s="28" t="n">
        <f aca="false">G22-G32</f>
        <v>7617.6</v>
      </c>
    </row>
    <row r="34" customFormat="false" ht="15" hidden="false" customHeight="false" outlineLevel="0" collapsed="false">
      <c r="A34" s="1"/>
      <c r="B34" s="6" t="s">
        <v>117</v>
      </c>
      <c r="C34" s="23" t="n">
        <f aca="false">IF(C22=0,"-",C33/C22)</f>
        <v>0.124088888888889</v>
      </c>
      <c r="D34" s="23" t="n">
        <f aca="false">IF(D22=0,"-",D33/D22)</f>
        <v>0.365536</v>
      </c>
      <c r="E34" s="23" t="n">
        <f aca="false">IF(E22=0,"-",E33/E22)</f>
        <v>0.377422222222222</v>
      </c>
      <c r="F34" s="23" t="n">
        <f aca="false">IF(F22=0,"-",F33/F22)</f>
        <v>0.388088888888889</v>
      </c>
      <c r="G34" s="23" t="n">
        <f aca="false">IF(G22=0,"-",G33/G22)</f>
        <v>0.4232</v>
      </c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</row>
    <row r="36" customFormat="false" ht="15" hidden="false" customHeight="false" outlineLevel="0" collapsed="false">
      <c r="A36" s="1"/>
      <c r="B36" s="6" t="s">
        <v>118</v>
      </c>
      <c r="C36" s="14" t="n">
        <f aca="false">C28/C16</f>
        <v>0.480982456140351</v>
      </c>
      <c r="D36" s="14" t="n">
        <f aca="false">D28/D16</f>
        <v>0.431223529411765</v>
      </c>
      <c r="E36" s="14" t="n">
        <f aca="false">E28/E16</f>
        <v>0.480982456140351</v>
      </c>
      <c r="F36" s="14" t="n">
        <f aca="false">F28/F16</f>
        <v>0.480982456140351</v>
      </c>
      <c r="G36" s="14" t="n">
        <f aca="false">G28/G16</f>
        <v>0.582606741573034</v>
      </c>
    </row>
    <row r="37" customFormat="false" ht="15" hidden="false" customHeight="false" outlineLevel="0" collapsed="false">
      <c r="A37" s="1"/>
      <c r="B37" s="6" t="s">
        <v>119</v>
      </c>
      <c r="C37" s="14" t="n">
        <f aca="false">C22/C16</f>
        <v>0.789473684210526</v>
      </c>
      <c r="D37" s="14" t="n">
        <f aca="false">D22/D16</f>
        <v>0.735294117647059</v>
      </c>
      <c r="E37" s="14" t="n">
        <f aca="false">E22/E16</f>
        <v>0.789473684210526</v>
      </c>
      <c r="F37" s="14" t="n">
        <f aca="false">F22/F16</f>
        <v>0.789473684210526</v>
      </c>
      <c r="G37" s="14" t="n">
        <f aca="false">G22/G16</f>
        <v>1.01123595505618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6A5"/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6" min="5" style="0" width="16"/>
    <col collapsed="false" customWidth="true" hidden="false" outlineLevel="0" max="7" min="7" style="0" width="20"/>
  </cols>
  <sheetData>
    <row r="1" customFormat="false" ht="17.35" hidden="false" customHeight="false" outlineLevel="0" collapsed="false">
      <c r="A1" s="1"/>
      <c r="B1" s="2" t="s">
        <v>120</v>
      </c>
      <c r="C1" s="1"/>
      <c r="D1" s="1"/>
      <c r="E1" s="1"/>
      <c r="F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</row>
    <row r="3" customFormat="false" ht="15" hidden="false" customHeight="false" outlineLevel="0" collapsed="false">
      <c r="A3" s="1"/>
      <c r="B3" s="29" t="s">
        <v>121</v>
      </c>
      <c r="C3" s="30"/>
      <c r="D3" s="30"/>
      <c r="E3" s="30"/>
      <c r="F3" s="30"/>
    </row>
    <row r="4" customFormat="false" ht="15" hidden="false" customHeight="false" outlineLevel="0" collapsed="false">
      <c r="A4" s="1"/>
      <c r="B4" s="5" t="s">
        <v>122</v>
      </c>
      <c r="C4" s="5" t="s">
        <v>123</v>
      </c>
      <c r="D4" s="5" t="s">
        <v>124</v>
      </c>
      <c r="E4" s="5" t="s">
        <v>125</v>
      </c>
      <c r="F4" s="5" t="s">
        <v>126</v>
      </c>
    </row>
    <row r="5" customFormat="false" ht="15" hidden="false" customHeight="false" outlineLevel="0" collapsed="false">
      <c r="A5" s="1"/>
      <c r="B5" s="6" t="s">
        <v>127</v>
      </c>
      <c r="C5" s="6" t="s">
        <v>128</v>
      </c>
      <c r="D5" s="6" t="s">
        <v>129</v>
      </c>
      <c r="E5" s="6" t="s">
        <v>130</v>
      </c>
      <c r="F5" s="6" t="s">
        <v>131</v>
      </c>
    </row>
    <row r="6" customFormat="false" ht="15" hidden="false" customHeight="false" outlineLevel="0" collapsed="false">
      <c r="A6" s="1"/>
      <c r="B6" s="6" t="s">
        <v>132</v>
      </c>
      <c r="C6" s="6" t="s">
        <v>133</v>
      </c>
      <c r="D6" s="6" t="s">
        <v>134</v>
      </c>
      <c r="E6" s="6" t="s">
        <v>135</v>
      </c>
      <c r="F6" s="6" t="s">
        <v>136</v>
      </c>
    </row>
    <row r="7" customFormat="false" ht="15" hidden="false" customHeight="false" outlineLevel="0" collapsed="false">
      <c r="A7" s="1"/>
      <c r="B7" s="6" t="s">
        <v>137</v>
      </c>
      <c r="C7" s="6" t="s">
        <v>138</v>
      </c>
      <c r="D7" s="6" t="s">
        <v>139</v>
      </c>
      <c r="E7" s="6" t="s">
        <v>140</v>
      </c>
      <c r="F7" s="6" t="s">
        <v>136</v>
      </c>
    </row>
    <row r="8" customFormat="false" ht="15" hidden="false" customHeight="false" outlineLevel="0" collapsed="false">
      <c r="A8" s="1"/>
      <c r="B8" s="1"/>
      <c r="C8" s="1"/>
      <c r="D8" s="1"/>
      <c r="E8" s="1"/>
      <c r="F8" s="1"/>
    </row>
    <row r="9" customFormat="false" ht="15" hidden="false" customHeight="false" outlineLevel="0" collapsed="false">
      <c r="A9" s="1"/>
      <c r="B9" s="31" t="s">
        <v>141</v>
      </c>
      <c r="C9" s="32"/>
      <c r="D9" s="32"/>
      <c r="E9" s="32"/>
      <c r="F9" s="32"/>
    </row>
    <row r="10" customFormat="false" ht="15" hidden="false" customHeight="false" outlineLevel="0" collapsed="false">
      <c r="A10" s="1"/>
      <c r="B10" s="5" t="s">
        <v>122</v>
      </c>
      <c r="C10" s="5" t="s">
        <v>123</v>
      </c>
      <c r="D10" s="5" t="s">
        <v>124</v>
      </c>
      <c r="E10" s="5" t="s">
        <v>125</v>
      </c>
      <c r="F10" s="5" t="s">
        <v>126</v>
      </c>
    </row>
    <row r="11" customFormat="false" ht="15" hidden="false" customHeight="false" outlineLevel="0" collapsed="false">
      <c r="A11" s="1"/>
      <c r="B11" s="6" t="s">
        <v>142</v>
      </c>
      <c r="C11" s="6" t="s">
        <v>143</v>
      </c>
      <c r="D11" s="6" t="s">
        <v>144</v>
      </c>
      <c r="E11" s="6" t="s">
        <v>145</v>
      </c>
      <c r="F11" s="6" t="s">
        <v>146</v>
      </c>
    </row>
    <row r="12" customFormat="false" ht="15" hidden="false" customHeight="false" outlineLevel="0" collapsed="false">
      <c r="A12" s="1"/>
      <c r="B12" s="6" t="s">
        <v>147</v>
      </c>
      <c r="C12" s="6" t="s">
        <v>148</v>
      </c>
      <c r="D12" s="6" t="s">
        <v>149</v>
      </c>
      <c r="E12" s="6" t="s">
        <v>150</v>
      </c>
      <c r="F12" s="6" t="s">
        <v>151</v>
      </c>
    </row>
    <row r="13" customFormat="false" ht="15" hidden="false" customHeight="false" outlineLevel="0" collapsed="false">
      <c r="A13" s="1"/>
      <c r="B13" s="6" t="s">
        <v>152</v>
      </c>
      <c r="C13" s="6" t="s">
        <v>153</v>
      </c>
      <c r="D13" s="6" t="s">
        <v>154</v>
      </c>
      <c r="E13" s="6" t="s">
        <v>155</v>
      </c>
      <c r="F13" s="6" t="s">
        <v>156</v>
      </c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</row>
    <row r="15" customFormat="false" ht="15" hidden="false" customHeight="false" outlineLevel="0" collapsed="false">
      <c r="A15" s="1"/>
      <c r="B15" s="33" t="s">
        <v>157</v>
      </c>
      <c r="C15" s="34"/>
      <c r="D15" s="34"/>
      <c r="E15" s="34"/>
      <c r="F15" s="34"/>
    </row>
    <row r="16" customFormat="false" ht="15" hidden="false" customHeight="false" outlineLevel="0" collapsed="false">
      <c r="A16" s="1"/>
      <c r="B16" s="5" t="s">
        <v>158</v>
      </c>
      <c r="C16" s="5" t="s">
        <v>159</v>
      </c>
      <c r="D16" s="5" t="s">
        <v>160</v>
      </c>
      <c r="E16" s="5" t="s">
        <v>161</v>
      </c>
      <c r="F16" s="5" t="s">
        <v>162</v>
      </c>
    </row>
    <row r="17" customFormat="false" ht="15" hidden="false" customHeight="false" outlineLevel="0" collapsed="false">
      <c r="A17" s="1"/>
      <c r="B17" s="6" t="s">
        <v>163</v>
      </c>
      <c r="C17" s="6" t="s">
        <v>164</v>
      </c>
      <c r="D17" s="6" t="s">
        <v>165</v>
      </c>
      <c r="E17" s="6" t="s">
        <v>131</v>
      </c>
      <c r="F17" s="6" t="s">
        <v>166</v>
      </c>
    </row>
    <row r="18" customFormat="false" ht="15" hidden="false" customHeight="false" outlineLevel="0" collapsed="false">
      <c r="A18" s="1"/>
      <c r="B18" s="6" t="s">
        <v>167</v>
      </c>
      <c r="C18" s="6" t="s">
        <v>168</v>
      </c>
      <c r="D18" s="6" t="s">
        <v>169</v>
      </c>
      <c r="E18" s="6" t="s">
        <v>131</v>
      </c>
      <c r="F18" s="6" t="s">
        <v>170</v>
      </c>
    </row>
    <row r="19" customFormat="false" ht="15" hidden="false" customHeight="false" outlineLevel="0" collapsed="false">
      <c r="A19" s="1"/>
      <c r="B19" s="6" t="s">
        <v>171</v>
      </c>
      <c r="C19" s="6" t="s">
        <v>172</v>
      </c>
      <c r="D19" s="6" t="s">
        <v>173</v>
      </c>
      <c r="E19" s="6" t="s">
        <v>174</v>
      </c>
      <c r="F19" s="6" t="s">
        <v>175</v>
      </c>
    </row>
    <row r="20" customFormat="false" ht="15" hidden="false" customHeight="false" outlineLevel="0" collapsed="false">
      <c r="A20" s="1"/>
      <c r="B20" s="6" t="s">
        <v>176</v>
      </c>
      <c r="C20" s="6" t="s">
        <v>177</v>
      </c>
      <c r="D20" s="6" t="s">
        <v>178</v>
      </c>
      <c r="E20" s="6" t="s">
        <v>131</v>
      </c>
      <c r="F20" s="6" t="s">
        <v>179</v>
      </c>
    </row>
    <row r="21" customFormat="false" ht="15" hidden="false" customHeight="false" outlineLevel="0" collapsed="false">
      <c r="A21" s="1"/>
      <c r="B21" s="6" t="s">
        <v>180</v>
      </c>
      <c r="C21" s="6" t="s">
        <v>181</v>
      </c>
      <c r="D21" s="6" t="s">
        <v>182</v>
      </c>
      <c r="E21" s="6" t="s">
        <v>131</v>
      </c>
      <c r="F21" s="6" t="s">
        <v>183</v>
      </c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</row>
    <row r="23" customFormat="false" ht="15" hidden="false" customHeight="false" outlineLevel="0" collapsed="false">
      <c r="A23" s="1"/>
      <c r="B23" s="35" t="s">
        <v>184</v>
      </c>
      <c r="C23" s="36"/>
      <c r="D23" s="36"/>
      <c r="E23" s="36"/>
      <c r="F23" s="36"/>
    </row>
    <row r="24" customFormat="false" ht="15" hidden="false" customHeight="false" outlineLevel="0" collapsed="false">
      <c r="A24" s="1"/>
      <c r="B24" s="5" t="s">
        <v>185</v>
      </c>
      <c r="C24" s="5" t="s">
        <v>186</v>
      </c>
      <c r="D24" s="5" t="s">
        <v>187</v>
      </c>
      <c r="E24" s="5" t="s">
        <v>188</v>
      </c>
      <c r="F24" s="1"/>
    </row>
    <row r="25" customFormat="false" ht="15" hidden="false" customHeight="false" outlineLevel="0" collapsed="false">
      <c r="A25" s="1"/>
      <c r="B25" s="6" t="s">
        <v>189</v>
      </c>
      <c r="C25" s="6" t="s">
        <v>190</v>
      </c>
      <c r="D25" s="6" t="s">
        <v>191</v>
      </c>
      <c r="E25" s="6" t="s">
        <v>192</v>
      </c>
      <c r="F25" s="1"/>
    </row>
    <row r="26" customFormat="false" ht="15" hidden="false" customHeight="false" outlineLevel="0" collapsed="false">
      <c r="A26" s="1"/>
      <c r="B26" s="6" t="s">
        <v>193</v>
      </c>
      <c r="C26" s="6" t="s">
        <v>194</v>
      </c>
      <c r="D26" s="6" t="s">
        <v>195</v>
      </c>
      <c r="E26" s="6" t="s">
        <v>70</v>
      </c>
      <c r="F26" s="1"/>
    </row>
    <row r="27" customFormat="false" ht="15" hidden="false" customHeight="false" outlineLevel="0" collapsed="false">
      <c r="A27" s="1"/>
      <c r="B27" s="6" t="s">
        <v>196</v>
      </c>
      <c r="C27" s="6" t="s">
        <v>197</v>
      </c>
      <c r="D27" s="6" t="s">
        <v>198</v>
      </c>
      <c r="E27" s="6" t="s">
        <v>70</v>
      </c>
      <c r="F27" s="1"/>
    </row>
    <row r="28" customFormat="false" ht="15" hidden="false" customHeight="false" outlineLevel="0" collapsed="false">
      <c r="A28" s="1"/>
      <c r="B28" s="6" t="s">
        <v>199</v>
      </c>
      <c r="C28" s="6" t="s">
        <v>200</v>
      </c>
      <c r="D28" s="6" t="s">
        <v>201</v>
      </c>
      <c r="E28" s="6" t="s">
        <v>202</v>
      </c>
      <c r="F28" s="1"/>
    </row>
    <row r="29" customFormat="false" ht="15" hidden="false" customHeight="false" outlineLevel="0" collapsed="false">
      <c r="A29" s="1"/>
      <c r="B29" s="6" t="s">
        <v>203</v>
      </c>
      <c r="C29" s="6" t="s">
        <v>204</v>
      </c>
      <c r="D29" s="6" t="s">
        <v>205</v>
      </c>
      <c r="E29" s="6" t="s">
        <v>202</v>
      </c>
      <c r="F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</row>
    <row r="32" customFormat="false" ht="15" hidden="false" customHeight="false" outlineLevel="0" collapsed="false">
      <c r="A32" s="1"/>
      <c r="B32" s="4" t="s">
        <v>206</v>
      </c>
      <c r="C32" s="1"/>
      <c r="D32" s="1"/>
      <c r="E32" s="1"/>
      <c r="F32" s="1"/>
    </row>
    <row r="33" customFormat="false" ht="15" hidden="false" customHeight="false" outlineLevel="0" collapsed="false">
      <c r="A33" s="1"/>
      <c r="B33" s="5" t="s">
        <v>207</v>
      </c>
      <c r="C33" s="5" t="s">
        <v>208</v>
      </c>
      <c r="D33" s="5" t="s">
        <v>209</v>
      </c>
      <c r="E33" s="1"/>
      <c r="F33" s="1"/>
    </row>
    <row r="34" customFormat="false" ht="15" hidden="false" customHeight="false" outlineLevel="0" collapsed="false">
      <c r="A34" s="1"/>
      <c r="B34" s="6" t="s">
        <v>210</v>
      </c>
      <c r="C34" s="6" t="s">
        <v>211</v>
      </c>
      <c r="D34" s="6" t="s">
        <v>212</v>
      </c>
      <c r="E34" s="1"/>
      <c r="F34" s="1"/>
    </row>
    <row r="35" customFormat="false" ht="15" hidden="false" customHeight="false" outlineLevel="0" collapsed="false">
      <c r="A35" s="1"/>
      <c r="B35" s="6" t="s">
        <v>213</v>
      </c>
      <c r="C35" s="6" t="s">
        <v>214</v>
      </c>
      <c r="D35" s="6" t="s">
        <v>215</v>
      </c>
      <c r="E35" s="1"/>
      <c r="F35" s="1"/>
    </row>
    <row r="36" customFormat="false" ht="15" hidden="false" customHeight="false" outlineLevel="0" collapsed="false">
      <c r="A36" s="1"/>
      <c r="B36" s="6" t="s">
        <v>216</v>
      </c>
      <c r="C36" s="6" t="s">
        <v>217</v>
      </c>
      <c r="D36" s="6" t="s">
        <v>218</v>
      </c>
      <c r="E36" s="1"/>
      <c r="F36" s="1"/>
    </row>
    <row r="37" customFormat="false" ht="15" hidden="false" customHeight="false" outlineLevel="0" collapsed="false">
      <c r="A37" s="1"/>
      <c r="B37" s="6" t="s">
        <v>219</v>
      </c>
      <c r="C37" s="6" t="s">
        <v>220</v>
      </c>
      <c r="D37" s="6" t="s">
        <v>221</v>
      </c>
      <c r="E37" s="1"/>
      <c r="F37" s="1"/>
    </row>
    <row r="38" customFormat="false" ht="15" hidden="false" customHeight="false" outlineLevel="0" collapsed="false">
      <c r="A38" s="1"/>
      <c r="B38" s="6" t="s">
        <v>222</v>
      </c>
      <c r="C38" s="6" t="s">
        <v>223</v>
      </c>
      <c r="D38" s="6" t="s">
        <v>224</v>
      </c>
      <c r="E38" s="1"/>
      <c r="F38" s="1"/>
    </row>
    <row r="39" customFormat="false" ht="15" hidden="false" customHeight="false" outlineLevel="0" collapsed="false">
      <c r="A39" s="1"/>
      <c r="B39" s="6" t="s">
        <v>225</v>
      </c>
      <c r="C39" s="6" t="s">
        <v>226</v>
      </c>
      <c r="D39" s="6" t="s">
        <v>227</v>
      </c>
      <c r="E39" s="1"/>
      <c r="F39" s="1"/>
    </row>
    <row r="40" customFormat="false" ht="15" hidden="false" customHeight="false" outlineLevel="0" collapsed="false">
      <c r="A40" s="1"/>
      <c r="B40" s="6" t="s">
        <v>228</v>
      </c>
      <c r="C40" s="6" t="s">
        <v>229</v>
      </c>
      <c r="D40" s="6" t="s">
        <v>230</v>
      </c>
      <c r="E40" s="1"/>
      <c r="F40" s="1"/>
    </row>
    <row r="41" customFormat="false" ht="15" hidden="false" customHeight="false" outlineLevel="0" collapsed="false">
      <c r="A41" s="1"/>
      <c r="B41" s="6" t="s">
        <v>231</v>
      </c>
      <c r="C41" s="6" t="s">
        <v>232</v>
      </c>
      <c r="D41" s="6" t="s">
        <v>233</v>
      </c>
      <c r="E41" s="1"/>
      <c r="F41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2026-03-16T04:10:15Z</dcterms:created>
  <dc:creator>openpyxl</dc:creator>
  <dc:description/>
  <dc:language>en-US</dc:language>
  <cp:lastModifiedBy/>
  <dcterms:modified xsi:type="dcterms:W3CDTF">2026-03-16T04:10:15Z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